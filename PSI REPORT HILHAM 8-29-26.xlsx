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zoezta\Downloads\"/>
    </mc:Choice>
  </mc:AlternateContent>
  <xr:revisionPtr revIDLastSave="0" documentId="13_ncr:1_{D76010FB-4908-4F0A-BB00-1D2FD2EE8054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5" i="1" l="1"/>
  <c r="B34" i="1"/>
  <c r="B33" i="1"/>
  <c r="B32" i="1"/>
  <c r="B31" i="1"/>
  <c r="B30" i="1"/>
  <c r="B29" i="1"/>
  <c r="B28" i="1"/>
  <c r="B27" i="1"/>
  <c r="B26" i="1"/>
  <c r="C25" i="1"/>
  <c r="B25" i="1"/>
  <c r="O23" i="1"/>
  <c r="O22" i="1"/>
  <c r="B16" i="1"/>
  <c r="B13" i="1"/>
  <c r="B12" i="1"/>
  <c r="B11" i="1"/>
  <c r="B10" i="1"/>
  <c r="B9" i="1"/>
</calcChain>
</file>

<file path=xl/sharedStrings.xml><?xml version="1.0" encoding="utf-8"?>
<sst xmlns="http://schemas.openxmlformats.org/spreadsheetml/2006/main" count="65" uniqueCount="58">
  <si>
    <t>PSI - Daily Inspection Summary</t>
  </si>
  <si>
    <t>Part I: General Data</t>
  </si>
  <si>
    <t>Date</t>
  </si>
  <si>
    <t>PSI Name</t>
  </si>
  <si>
    <t>Hilham Muazam Auda</t>
  </si>
  <si>
    <t>Part II: KPI Summary</t>
  </si>
  <si>
    <t>Inspected Qty</t>
  </si>
  <si>
    <t>Inspected Qty (Including Rework)</t>
  </si>
  <si>
    <t>Rejected Order Qty</t>
  </si>
  <si>
    <t>RFT %</t>
  </si>
  <si>
    <t>Defect %</t>
  </si>
  <si>
    <t>Not Reworkable Defect Qty</t>
  </si>
  <si>
    <t>Not Reworkable Defect %</t>
  </si>
  <si>
    <t>Total Approved Qty</t>
  </si>
  <si>
    <t xml:space="preserve">Part III: Daily Inspection Summary </t>
  </si>
  <si>
    <t>NO</t>
  </si>
  <si>
    <t>PO. No</t>
  </si>
  <si>
    <t>Component</t>
  </si>
  <si>
    <t>Art</t>
  </si>
  <si>
    <t>Model Name</t>
  </si>
  <si>
    <t>Destination</t>
  </si>
  <si>
    <t>Po Qty</t>
  </si>
  <si>
    <t>Offered Lot Qty</t>
  </si>
  <si>
    <t>Approved Qty at First Time</t>
  </si>
  <si>
    <t>Rejected Qty for Rework</t>
  </si>
  <si>
    <t>Defect Found</t>
  </si>
  <si>
    <t>Re-inspection - Pairs Approved after rework</t>
  </si>
  <si>
    <t>Rejected  balance Qty not offered</t>
  </si>
  <si>
    <t>Pairs Not Reworkable &amp; Not Shippable Qty (B&amp;C Grade)</t>
  </si>
  <si>
    <t>Not Reworkable
 defect %</t>
  </si>
  <si>
    <t>Inspected  Qty including rework</t>
  </si>
  <si>
    <t>Approved Total PO Quantity</t>
  </si>
  <si>
    <t>Balance
Total PO Quandity</t>
  </si>
  <si>
    <t>100% Final Inspection</t>
  </si>
  <si>
    <r>
      <t xml:space="preserve">Findings
Defect Code - No. of Defect - Defect Name
</t>
    </r>
    <r>
      <rPr>
        <b/>
        <sz val="9"/>
        <color rgb="FFFF0000"/>
        <rFont val="Arial"/>
        <family val="2"/>
      </rPr>
      <t>(Ex : 310.01 - 1 - Leather defects)
(EX : No defect)</t>
    </r>
  </si>
  <si>
    <t>Select "Yes" if same defect repeatedly in AQL Border level</t>
  </si>
  <si>
    <t>Impactiva Result</t>
  </si>
  <si>
    <t>Production Line</t>
  </si>
  <si>
    <t>Comments</t>
  </si>
  <si>
    <t>CR</t>
  </si>
  <si>
    <t>MJ</t>
  </si>
  <si>
    <t>MR</t>
  </si>
  <si>
    <t>0903406611</t>
  </si>
  <si>
    <t>full shoe</t>
  </si>
  <si>
    <t>LB6026</t>
  </si>
  <si>
    <t>BAD BUNNY 2.0</t>
  </si>
  <si>
    <t>MEXICO</t>
  </si>
  <si>
    <t>YES</t>
  </si>
  <si>
    <t>F2-15</t>
  </si>
  <si>
    <t>Total</t>
  </si>
  <si>
    <t>PO NO</t>
  </si>
  <si>
    <t>Qty Order</t>
  </si>
  <si>
    <t>Approved Qty</t>
  </si>
  <si>
    <t>Rejected Qty</t>
  </si>
  <si>
    <t>Rework and Approved</t>
  </si>
  <si>
    <t>Pairs Not Reworkable &amp; Not Shippable (B&amp;C Grade)</t>
  </si>
  <si>
    <t>Balance Qty</t>
  </si>
  <si>
    <t>51.4 - 6 SOILING : CONTAMINATION UPPER
51.4 - 1 SOILING : CONTAMINATION INSIDE
51.5 - 1 OVER CEMENTING : OVER CEMENTING
41.11 - 10 ASSEMBLY BONDING : BONDING GAP
51.2 - 3 SYMMETRY : MIS-MATCHING
51.2 - 5 SYMMETRY : OFF CENTER TOE TO HEEL
51.2 - 1 SYMMETRY : POOR SYMMETRY
51.6 - 2 STITCH : INCONSISTENT STITCHING 
51.1 - 2 APPLICATION APPEARANCE : POOR DEFINITION
52.8 - 2 FINISHING : POOR MID-/OUTSOLE QUALITY
41.12 - 8 STITCH : BROKEN STITCHING/LOOSE STITCHING/SKIPPED STITCHING
51.3 - 2 SHAPE : POOR SHAPE
51.10 - 3 MATERIAL APPEARANCE: MATERIAL BROKEN
61.2 - 6 COLOR CONSISTENCY : LEATHER GRAIN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</si>
</sst>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#,##0"/>
    <numFmt numFmtId="165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b/>
      <sz val="9"/>
      <color indexed="8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10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FA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ABA"/>
        <bgColor indexed="64"/>
      </patternFill>
    </fill>
    <fill>
      <patternFill patternType="gray06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>
      <alignment vertical="top"/>
    </xf>
    <xf numFmtId="9" fontId="2" fillId="0" borderId="0" applyFont="0" applyFill="0" applyBorder="0" applyAlignment="0" applyProtection="0"/>
    <xf numFmtId="0" fontId="10" fillId="0" borderId="0"/>
    <xf numFmtId="0" fontId="2" fillId="0" borderId="0"/>
  </cellStyleXfs>
  <cellXfs count="68">
    <xf numFmtId="0" fontId="0" fillId="0" borderId="0" xfId="0"/>
    <xf numFmtId="0" fontId="2" fillId="0" borderId="0" xfId="2"/>
    <xf numFmtId="0" fontId="3" fillId="3" borderId="1" xfId="2" applyFont="1" applyFill="1" applyBorder="1" applyAlignment="1">
      <alignment horizontal="left" vertical="center"/>
    </xf>
    <xf numFmtId="0" fontId="3" fillId="3" borderId="2" xfId="2" applyFont="1" applyFill="1" applyBorder="1" applyAlignment="1">
      <alignment horizontal="left" vertical="center"/>
    </xf>
    <xf numFmtId="14" fontId="3" fillId="4" borderId="1" xfId="2" applyNumberFormat="1" applyFont="1" applyFill="1" applyBorder="1" applyAlignment="1" applyProtection="1">
      <alignment horizontal="center" vertical="center"/>
      <protection locked="0"/>
    </xf>
    <xf numFmtId="0" fontId="3" fillId="4" borderId="1" xfId="2" applyFont="1" applyFill="1" applyBorder="1" applyAlignment="1" applyProtection="1">
      <alignment horizontal="center" vertical="center"/>
      <protection locked="0"/>
    </xf>
    <xf numFmtId="164" fontId="3" fillId="5" borderId="1" xfId="2" applyNumberFormat="1" applyFont="1" applyFill="1" applyBorder="1" applyAlignment="1" applyProtection="1">
      <alignment horizontal="center" vertical="center"/>
      <protection locked="0"/>
    </xf>
    <xf numFmtId="165" fontId="3" fillId="5" borderId="1" xfId="1" applyNumberFormat="1" applyFont="1" applyFill="1" applyBorder="1" applyAlignment="1">
      <alignment horizontal="center"/>
    </xf>
    <xf numFmtId="165" fontId="3" fillId="5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3" fillId="0" borderId="0" xfId="2" applyFont="1" applyFill="1" applyBorder="1" applyAlignment="1">
      <alignment horizontal="left" vertical="center"/>
    </xf>
    <xf numFmtId="164" fontId="3" fillId="0" borderId="0" xfId="0" applyNumberFormat="1" applyFont="1" applyFill="1" applyBorder="1" applyAlignment="1">
      <alignment horizontal="center"/>
    </xf>
    <xf numFmtId="0" fontId="0" fillId="0" borderId="0" xfId="0" applyFill="1" applyBorder="1"/>
    <xf numFmtId="0" fontId="4" fillId="0" borderId="0" xfId="3" applyFont="1" applyAlignment="1" applyProtection="1">
      <alignment horizontal="center" vertical="center"/>
      <protection locked="0"/>
    </xf>
    <xf numFmtId="0" fontId="6" fillId="3" borderId="1" xfId="4" applyFont="1" applyFill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8" fillId="0" borderId="1" xfId="3" quotePrefix="1" applyFont="1" applyBorder="1" applyAlignment="1" applyProtection="1">
      <alignment horizontal="center" vertical="center"/>
      <protection locked="0"/>
    </xf>
    <xf numFmtId="0" fontId="8" fillId="0" borderId="1" xfId="3" applyFont="1" applyBorder="1" applyAlignment="1" applyProtection="1">
      <alignment horizontal="center" vertical="center"/>
      <protection locked="0"/>
    </xf>
    <xf numFmtId="0" fontId="8" fillId="0" borderId="1" xfId="3" applyFont="1" applyBorder="1" applyAlignment="1" applyProtection="1">
      <alignment horizontal="center" vertical="center" wrapText="1"/>
      <protection locked="0"/>
    </xf>
    <xf numFmtId="3" fontId="8" fillId="0" borderId="1" xfId="3" applyNumberFormat="1" applyFont="1" applyBorder="1" applyAlignment="1" applyProtection="1">
      <alignment horizontal="center" vertical="center"/>
      <protection locked="0"/>
    </xf>
    <xf numFmtId="3" fontId="9" fillId="5" borderId="1" xfId="3" applyNumberFormat="1" applyFont="1" applyFill="1" applyBorder="1" applyAlignment="1">
      <alignment horizontal="center" vertical="center"/>
    </xf>
    <xf numFmtId="3" fontId="9" fillId="0" borderId="1" xfId="3" applyNumberFormat="1" applyFont="1" applyBorder="1" applyAlignment="1" applyProtection="1">
      <alignment horizontal="center" vertical="center"/>
      <protection locked="0"/>
    </xf>
    <xf numFmtId="165" fontId="9" fillId="5" borderId="1" xfId="5" applyNumberFormat="1" applyFont="1" applyFill="1" applyBorder="1" applyAlignment="1" applyProtection="1">
      <alignment horizontal="center" vertical="center"/>
    </xf>
    <xf numFmtId="3" fontId="9" fillId="5" borderId="1" xfId="5" applyNumberFormat="1" applyFont="1" applyFill="1" applyBorder="1" applyAlignment="1" applyProtection="1">
      <alignment horizontal="center" vertical="center"/>
    </xf>
    <xf numFmtId="0" fontId="8" fillId="4" borderId="5" xfId="6" applyFont="1" applyFill="1" applyBorder="1" applyAlignment="1" applyProtection="1">
      <alignment horizontal="center" vertical="center"/>
      <protection locked="0"/>
    </xf>
    <xf numFmtId="0" fontId="11" fillId="0" borderId="1" xfId="6" applyFont="1" applyBorder="1" applyAlignment="1" applyProtection="1">
      <alignment horizontal="center" vertical="center"/>
      <protection locked="0"/>
    </xf>
    <xf numFmtId="0" fontId="12" fillId="0" borderId="1" xfId="3" applyFont="1" applyBorder="1" applyAlignment="1" applyProtection="1">
      <alignment horizontal="center" vertical="center" wrapText="1"/>
      <protection locked="0"/>
    </xf>
    <xf numFmtId="3" fontId="13" fillId="6" borderId="1" xfId="3" applyNumberFormat="1" applyFont="1" applyFill="1" applyBorder="1" applyAlignment="1">
      <alignment horizontal="center"/>
    </xf>
    <xf numFmtId="165" fontId="13" fillId="5" borderId="1" xfId="5" applyNumberFormat="1" applyFont="1" applyFill="1" applyBorder="1" applyAlignment="1" applyProtection="1">
      <alignment horizontal="center" vertical="center"/>
    </xf>
    <xf numFmtId="3" fontId="13" fillId="5" borderId="1" xfId="5" applyNumberFormat="1" applyFont="1" applyFill="1" applyBorder="1" applyAlignment="1" applyProtection="1">
      <alignment horizontal="center" vertical="center"/>
    </xf>
    <xf numFmtId="0" fontId="13" fillId="5" borderId="1" xfId="5" applyNumberFormat="1" applyFont="1" applyFill="1" applyBorder="1" applyAlignment="1" applyProtection="1">
      <alignment horizontal="center" vertical="center"/>
    </xf>
    <xf numFmtId="0" fontId="4" fillId="7" borderId="2" xfId="3" applyFont="1" applyFill="1" applyBorder="1" applyAlignment="1" applyProtection="1">
      <alignment horizontal="center"/>
      <protection locked="0"/>
    </xf>
    <xf numFmtId="0" fontId="4" fillId="7" borderId="4" xfId="3" applyFont="1" applyFill="1" applyBorder="1" applyAlignment="1" applyProtection="1">
      <alignment horizontal="center"/>
      <protection locked="0"/>
    </xf>
    <xf numFmtId="0" fontId="4" fillId="7" borderId="5" xfId="3" applyFont="1" applyFill="1" applyBorder="1" applyAlignment="1" applyProtection="1">
      <alignment horizontal="center"/>
      <protection locked="0"/>
    </xf>
    <xf numFmtId="0" fontId="3" fillId="0" borderId="2" xfId="7" applyFont="1" applyBorder="1" applyAlignment="1" applyProtection="1">
      <alignment horizontal="left" vertical="center"/>
      <protection locked="0"/>
    </xf>
    <xf numFmtId="0" fontId="3" fillId="0" borderId="2" xfId="7" quotePrefix="1" applyFont="1" applyBorder="1" applyAlignment="1" applyProtection="1">
      <alignment horizontal="center" vertical="center"/>
      <protection locked="0"/>
    </xf>
    <xf numFmtId="164" fontId="3" fillId="0" borderId="2" xfId="7" quotePrefix="1" applyNumberFormat="1" applyFont="1" applyBorder="1" applyAlignment="1" applyProtection="1">
      <alignment horizontal="center" vertical="center"/>
      <protection locked="0"/>
    </xf>
    <xf numFmtId="0" fontId="3" fillId="4" borderId="2" xfId="4" applyFont="1" applyFill="1" applyBorder="1" applyAlignment="1" applyProtection="1">
      <alignment horizontal="left" vertical="center"/>
      <protection locked="0"/>
    </xf>
    <xf numFmtId="3" fontId="3" fillId="0" borderId="2" xfId="7" applyNumberFormat="1" applyFont="1" applyBorder="1" applyAlignment="1" applyProtection="1">
      <alignment horizontal="center" vertical="center"/>
      <protection locked="0"/>
    </xf>
    <xf numFmtId="0" fontId="3" fillId="0" borderId="2" xfId="4" applyFont="1" applyBorder="1" applyAlignment="1" applyProtection="1">
      <alignment horizontal="left" vertical="center"/>
      <protection locked="0"/>
    </xf>
    <xf numFmtId="0" fontId="3" fillId="0" borderId="2" xfId="4" applyFont="1" applyBorder="1" applyAlignment="1" applyProtection="1">
      <alignment horizontal="left" vertical="center" wrapText="1"/>
      <protection locked="0"/>
    </xf>
    <xf numFmtId="0" fontId="3" fillId="3" borderId="1" xfId="3" applyFont="1" applyFill="1" applyBorder="1" applyAlignment="1">
      <alignment horizontal="left" vertical="center"/>
    </xf>
    <xf numFmtId="0" fontId="4" fillId="0" borderId="6" xfId="7" applyFont="1" applyBorder="1" applyAlignment="1" applyProtection="1">
      <alignment vertical="center" wrapText="1"/>
      <protection locked="0"/>
    </xf>
    <xf numFmtId="0" fontId="4" fillId="0" borderId="7" xfId="7" applyFont="1" applyBorder="1" applyAlignment="1" applyProtection="1">
      <alignment vertical="center" wrapText="1"/>
      <protection locked="0"/>
    </xf>
    <xf numFmtId="0" fontId="4" fillId="0" borderId="8" xfId="7" applyFont="1" applyBorder="1" applyAlignment="1" applyProtection="1">
      <alignment vertical="center" wrapText="1"/>
      <protection locked="0"/>
    </xf>
    <xf numFmtId="0" fontId="4" fillId="0" borderId="13" xfId="7" applyFont="1" applyBorder="1" applyAlignment="1" applyProtection="1">
      <alignment vertical="center" wrapText="1"/>
      <protection locked="0"/>
    </xf>
    <xf numFmtId="0" fontId="4" fillId="0" borderId="0" xfId="7" applyFont="1" applyBorder="1" applyAlignment="1" applyProtection="1">
      <alignment vertical="center" wrapText="1"/>
      <protection locked="0"/>
    </xf>
    <xf numFmtId="0" fontId="4" fillId="0" borderId="14" xfId="7" applyFont="1" applyBorder="1" applyAlignment="1" applyProtection="1">
      <alignment vertical="center" wrapText="1"/>
      <protection locked="0"/>
    </xf>
    <xf numFmtId="0" fontId="4" fillId="0" borderId="10" xfId="7" applyFont="1" applyBorder="1" applyAlignment="1" applyProtection="1">
      <alignment vertical="center" wrapText="1"/>
      <protection locked="0"/>
    </xf>
    <xf numFmtId="0" fontId="4" fillId="0" borderId="11" xfId="7" applyFont="1" applyBorder="1" applyAlignment="1" applyProtection="1">
      <alignment vertical="center" wrapText="1"/>
      <protection locked="0"/>
    </xf>
    <xf numFmtId="0" fontId="4" fillId="0" borderId="12" xfId="7" applyFont="1" applyBorder="1" applyAlignment="1" applyProtection="1">
      <alignment vertical="center" wrapText="1"/>
      <protection locked="0"/>
    </xf>
    <xf numFmtId="0" fontId="6" fillId="3" borderId="6" xfId="4" applyFont="1" applyFill="1" applyBorder="1" applyAlignment="1">
      <alignment horizontal="center" vertical="center" wrapText="1"/>
    </xf>
    <xf numFmtId="0" fontId="6" fillId="3" borderId="7" xfId="4" applyFont="1" applyFill="1" applyBorder="1" applyAlignment="1">
      <alignment horizontal="center" vertical="center" wrapText="1"/>
    </xf>
    <xf numFmtId="0" fontId="6" fillId="3" borderId="8" xfId="4" applyFont="1" applyFill="1" applyBorder="1" applyAlignment="1">
      <alignment horizontal="center" vertical="center" wrapText="1"/>
    </xf>
    <xf numFmtId="0" fontId="6" fillId="3" borderId="10" xfId="4" applyFont="1" applyFill="1" applyBorder="1" applyAlignment="1">
      <alignment horizontal="center" vertical="center" wrapText="1"/>
    </xf>
    <xf numFmtId="0" fontId="6" fillId="3" borderId="11" xfId="4" applyFont="1" applyFill="1" applyBorder="1" applyAlignment="1">
      <alignment horizontal="center" vertical="center" wrapText="1"/>
    </xf>
    <xf numFmtId="0" fontId="6" fillId="3" borderId="12" xfId="4" applyFont="1" applyFill="1" applyBorder="1" applyAlignment="1">
      <alignment horizontal="center" vertical="center" wrapText="1"/>
    </xf>
    <xf numFmtId="0" fontId="6" fillId="3" borderId="3" xfId="4" applyFont="1" applyFill="1" applyBorder="1" applyAlignment="1">
      <alignment horizontal="center" vertical="center" wrapText="1"/>
    </xf>
    <xf numFmtId="0" fontId="6" fillId="3" borderId="9" xfId="4" applyFont="1" applyFill="1" applyBorder="1" applyAlignment="1">
      <alignment horizontal="center" vertical="center" wrapText="1"/>
    </xf>
    <xf numFmtId="0" fontId="6" fillId="3" borderId="1" xfId="4" applyFont="1" applyFill="1" applyBorder="1" applyAlignment="1">
      <alignment horizontal="center" vertical="center" wrapText="1"/>
    </xf>
    <xf numFmtId="0" fontId="8" fillId="0" borderId="2" xfId="6" applyFont="1" applyBorder="1" applyAlignment="1" applyProtection="1">
      <alignment horizontal="left" vertical="center" wrapText="1"/>
      <protection locked="0"/>
    </xf>
    <xf numFmtId="0" fontId="8" fillId="0" borderId="4" xfId="6" applyFont="1" applyBorder="1" applyAlignment="1" applyProtection="1">
      <alignment horizontal="left" vertical="center"/>
      <protection locked="0"/>
    </xf>
    <xf numFmtId="0" fontId="8" fillId="0" borderId="5" xfId="6" applyFont="1" applyBorder="1" applyAlignment="1" applyProtection="1">
      <alignment horizontal="left" vertical="center"/>
      <protection locked="0"/>
    </xf>
    <xf numFmtId="0" fontId="6" fillId="3" borderId="2" xfId="4" applyFont="1" applyFill="1" applyBorder="1" applyAlignment="1">
      <alignment horizontal="center" vertical="center"/>
    </xf>
    <xf numFmtId="0" fontId="6" fillId="3" borderId="4" xfId="4" applyFont="1" applyFill="1" applyBorder="1" applyAlignment="1">
      <alignment horizontal="center" vertical="center"/>
    </xf>
    <xf numFmtId="0" fontId="6" fillId="3" borderId="5" xfId="4" applyFont="1" applyFill="1" applyBorder="1" applyAlignment="1">
      <alignment horizontal="center" vertical="center"/>
    </xf>
    <xf numFmtId="0" fontId="3" fillId="2" borderId="1" xfId="2" applyFont="1" applyFill="1" applyBorder="1" applyAlignment="1" applyProtection="1">
      <alignment horizontal="center" vertical="center"/>
      <protection locked="0"/>
    </xf>
    <xf numFmtId="0" fontId="6" fillId="3" borderId="1" xfId="4" applyFont="1" applyFill="1" applyBorder="1" applyAlignment="1">
      <alignment horizontal="center" vertical="center"/>
    </xf>
  </cellXfs>
  <cellStyles count="8">
    <cellStyle name="Normal" xfId="0" builtinId="0"/>
    <cellStyle name="Normal 263" xfId="2" xr:uid="{00000000-0005-0000-0000-000001000000}"/>
    <cellStyle name="Normal 264" xfId="7" xr:uid="{00000000-0005-0000-0000-000002000000}"/>
    <cellStyle name="Normal 265" xfId="3" xr:uid="{00000000-0005-0000-0000-000003000000}"/>
    <cellStyle name="Normal_3 party Update" xfId="6" xr:uid="{00000000-0005-0000-0000-000004000000}"/>
    <cellStyle name="Percent" xfId="1" builtinId="5"/>
    <cellStyle name="Percent 6" xfId="5" xr:uid="{00000000-0005-0000-0000-000006000000}"/>
    <cellStyle name="Percent_ITS_Insp_Summary_Factory_ChinaSouth_2014_Feb" xfId="4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5"/>
  <sheetViews>
    <sheetView showGridLines="0" tabSelected="1" zoomScaleNormal="100" workbookViewId="0">
      <selection activeCell="AD17" sqref="AD17"/>
    </sheetView>
  </sheetViews>
  <sheetFormatPr defaultRowHeight="15" x14ac:dyDescent="0.25"/>
  <cols>
    <col min="1" max="1" width="40.85546875" customWidth="1"/>
    <col min="2" max="2" width="31.85546875" customWidth="1"/>
    <col min="5" max="5" width="15.85546875" customWidth="1"/>
    <col min="6" max="6" width="18.140625" customWidth="1"/>
    <col min="9" max="9" width="11.140625" customWidth="1"/>
    <col min="10" max="10" width="12.5703125" customWidth="1"/>
    <col min="11" max="11" width="11" customWidth="1"/>
    <col min="16" max="16" width="18.28515625" customWidth="1"/>
    <col min="17" max="17" width="12" customWidth="1"/>
    <col min="18" max="19" width="13" customWidth="1"/>
    <col min="20" max="20" width="20.28515625" customWidth="1"/>
    <col min="21" max="21" width="17.28515625" customWidth="1"/>
    <col min="22" max="24" width="13" customWidth="1"/>
    <col min="27" max="27" width="34.7109375" customWidth="1"/>
    <col min="28" max="28" width="49.42578125" bestFit="1" customWidth="1"/>
  </cols>
  <sheetData>
    <row r="1" spans="1:2" x14ac:dyDescent="0.25">
      <c r="A1" s="66" t="s">
        <v>0</v>
      </c>
      <c r="B1" s="66"/>
    </row>
    <row r="2" spans="1:2" ht="15.75" x14ac:dyDescent="0.25">
      <c r="A2" s="1"/>
      <c r="B2" s="1"/>
    </row>
    <row r="3" spans="1:2" ht="15.75" x14ac:dyDescent="0.25">
      <c r="A3" s="1"/>
      <c r="B3" s="1"/>
    </row>
    <row r="4" spans="1:2" ht="15.75" x14ac:dyDescent="0.25">
      <c r="A4" s="2" t="s">
        <v>1</v>
      </c>
      <c r="B4" s="1"/>
    </row>
    <row r="5" spans="1:2" x14ac:dyDescent="0.25">
      <c r="A5" s="3" t="s">
        <v>2</v>
      </c>
      <c r="B5" s="4">
        <v>46263</v>
      </c>
    </row>
    <row r="6" spans="1:2" x14ac:dyDescent="0.25">
      <c r="A6" s="3" t="s">
        <v>3</v>
      </c>
      <c r="B6" s="5" t="s">
        <v>4</v>
      </c>
    </row>
    <row r="8" spans="1:2" ht="15.75" x14ac:dyDescent="0.25">
      <c r="A8" s="2" t="s">
        <v>5</v>
      </c>
      <c r="B8" s="1"/>
    </row>
    <row r="9" spans="1:2" x14ac:dyDescent="0.25">
      <c r="A9" s="3" t="s">
        <v>6</v>
      </c>
      <c r="B9" s="6">
        <f>I23</f>
        <v>190</v>
      </c>
    </row>
    <row r="10" spans="1:2" x14ac:dyDescent="0.25">
      <c r="A10" s="3" t="s">
        <v>7</v>
      </c>
      <c r="B10" s="6">
        <f>T23</f>
        <v>242</v>
      </c>
    </row>
    <row r="11" spans="1:2" x14ac:dyDescent="0.25">
      <c r="A11" s="3" t="s">
        <v>8</v>
      </c>
      <c r="B11" s="6">
        <f>K23</f>
        <v>52</v>
      </c>
    </row>
    <row r="12" spans="1:2" x14ac:dyDescent="0.25">
      <c r="A12" s="3" t="s">
        <v>9</v>
      </c>
      <c r="B12" s="7">
        <f>1-O23</f>
        <v>0.72631578947368425</v>
      </c>
    </row>
    <row r="13" spans="1:2" x14ac:dyDescent="0.25">
      <c r="A13" s="3" t="s">
        <v>10</v>
      </c>
      <c r="B13" s="8">
        <f>O23</f>
        <v>0.27368421052631581</v>
      </c>
    </row>
    <row r="14" spans="1:2" x14ac:dyDescent="0.25">
      <c r="A14" s="3" t="s">
        <v>11</v>
      </c>
      <c r="B14" s="9">
        <v>0</v>
      </c>
    </row>
    <row r="15" spans="1:2" x14ac:dyDescent="0.25">
      <c r="A15" s="3" t="s">
        <v>12</v>
      </c>
      <c r="B15" s="7">
        <v>0</v>
      </c>
    </row>
    <row r="16" spans="1:2" x14ac:dyDescent="0.25">
      <c r="A16" s="2" t="s">
        <v>13</v>
      </c>
      <c r="B16" s="9">
        <f>V23</f>
        <v>487</v>
      </c>
    </row>
    <row r="17" spans="1:31" x14ac:dyDescent="0.25">
      <c r="A17" s="10"/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spans="1:31" x14ac:dyDescent="0.25">
      <c r="A18" s="10"/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spans="1:31" x14ac:dyDescent="0.25">
      <c r="A19" s="41" t="s">
        <v>14</v>
      </c>
      <c r="B19" s="41"/>
      <c r="C19" s="41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</row>
    <row r="20" spans="1:31" x14ac:dyDescent="0.25">
      <c r="A20" s="59" t="s">
        <v>15</v>
      </c>
      <c r="B20" s="57" t="s">
        <v>16</v>
      </c>
      <c r="C20" s="57" t="s">
        <v>17</v>
      </c>
      <c r="D20" s="67" t="s">
        <v>18</v>
      </c>
      <c r="E20" s="59" t="s">
        <v>19</v>
      </c>
      <c r="F20" s="59" t="s">
        <v>20</v>
      </c>
      <c r="G20" s="57" t="s">
        <v>21</v>
      </c>
      <c r="H20" s="59" t="s">
        <v>22</v>
      </c>
      <c r="I20" s="59" t="s">
        <v>6</v>
      </c>
      <c r="J20" s="59" t="s">
        <v>23</v>
      </c>
      <c r="K20" s="59" t="s">
        <v>24</v>
      </c>
      <c r="L20" s="63" t="s">
        <v>25</v>
      </c>
      <c r="M20" s="64"/>
      <c r="N20" s="65"/>
      <c r="O20" s="59" t="s">
        <v>10</v>
      </c>
      <c r="P20" s="59" t="s">
        <v>26</v>
      </c>
      <c r="Q20" s="59" t="s">
        <v>27</v>
      </c>
      <c r="R20" s="59" t="s">
        <v>28</v>
      </c>
      <c r="S20" s="59" t="s">
        <v>29</v>
      </c>
      <c r="T20" s="59" t="s">
        <v>30</v>
      </c>
      <c r="U20" s="59" t="s">
        <v>13</v>
      </c>
      <c r="V20" s="57" t="s">
        <v>31</v>
      </c>
      <c r="W20" s="57" t="s">
        <v>32</v>
      </c>
      <c r="X20" s="57" t="s">
        <v>33</v>
      </c>
      <c r="Y20" s="51" t="s">
        <v>34</v>
      </c>
      <c r="Z20" s="52"/>
      <c r="AA20" s="53"/>
      <c r="AB20" s="57" t="s">
        <v>35</v>
      </c>
      <c r="AC20" s="57" t="s">
        <v>36</v>
      </c>
      <c r="AD20" s="59" t="s">
        <v>37</v>
      </c>
      <c r="AE20" s="59" t="s">
        <v>38</v>
      </c>
    </row>
    <row r="21" spans="1:31" ht="49.5" customHeight="1" x14ac:dyDescent="0.25">
      <c r="A21" s="59"/>
      <c r="B21" s="58"/>
      <c r="C21" s="58"/>
      <c r="D21" s="67"/>
      <c r="E21" s="59"/>
      <c r="F21" s="59"/>
      <c r="G21" s="58"/>
      <c r="H21" s="59"/>
      <c r="I21" s="59"/>
      <c r="J21" s="59"/>
      <c r="K21" s="59"/>
      <c r="L21" s="14" t="s">
        <v>39</v>
      </c>
      <c r="M21" s="14" t="s">
        <v>40</v>
      </c>
      <c r="N21" s="14" t="s">
        <v>41</v>
      </c>
      <c r="O21" s="59"/>
      <c r="P21" s="59"/>
      <c r="Q21" s="59"/>
      <c r="R21" s="59"/>
      <c r="S21" s="59"/>
      <c r="T21" s="59"/>
      <c r="U21" s="59"/>
      <c r="V21" s="58"/>
      <c r="W21" s="58"/>
      <c r="X21" s="58"/>
      <c r="Y21" s="54"/>
      <c r="Z21" s="55"/>
      <c r="AA21" s="56"/>
      <c r="AB21" s="58"/>
      <c r="AC21" s="58"/>
      <c r="AD21" s="59"/>
      <c r="AE21" s="59"/>
    </row>
    <row r="22" spans="1:31" ht="234" customHeight="1" x14ac:dyDescent="0.25">
      <c r="A22" s="15">
        <v>1</v>
      </c>
      <c r="B22" s="16" t="s">
        <v>42</v>
      </c>
      <c r="C22" s="17" t="s">
        <v>43</v>
      </c>
      <c r="D22" s="17" t="s">
        <v>44</v>
      </c>
      <c r="E22" s="18" t="s">
        <v>45</v>
      </c>
      <c r="F22" s="18" t="s">
        <v>46</v>
      </c>
      <c r="G22" s="19">
        <v>4474</v>
      </c>
      <c r="H22" s="19">
        <v>1200</v>
      </c>
      <c r="I22" s="19">
        <v>190</v>
      </c>
      <c r="J22" s="19">
        <v>138</v>
      </c>
      <c r="K22" s="20">
        <v>52</v>
      </c>
      <c r="L22" s="21"/>
      <c r="M22" s="21">
        <v>23</v>
      </c>
      <c r="N22" s="21">
        <v>29</v>
      </c>
      <c r="O22" s="22">
        <f>(K22/I22)</f>
        <v>0.27368421052631581</v>
      </c>
      <c r="P22" s="19">
        <v>52</v>
      </c>
      <c r="Q22" s="19">
        <v>0</v>
      </c>
      <c r="R22" s="19">
        <v>0</v>
      </c>
      <c r="S22" s="22">
        <v>0</v>
      </c>
      <c r="T22" s="23">
        <v>424</v>
      </c>
      <c r="U22" s="20">
        <v>190</v>
      </c>
      <c r="V22" s="20">
        <v>487</v>
      </c>
      <c r="W22" s="19">
        <v>713</v>
      </c>
      <c r="X22" s="15" t="s">
        <v>47</v>
      </c>
      <c r="Y22" s="60" t="s">
        <v>57</v>
      </c>
      <c r="Z22" s="61"/>
      <c r="AA22" s="62"/>
      <c r="AB22" s="24"/>
      <c r="AC22" s="25"/>
      <c r="AD22" s="17" t="s">
        <v>48</v>
      </c>
      <c r="AE22" s="26"/>
    </row>
    <row r="23" spans="1:31" x14ac:dyDescent="0.25">
      <c r="A23" s="41" t="s">
        <v>49</v>
      </c>
      <c r="B23" s="41"/>
      <c r="C23" s="41"/>
      <c r="D23" s="41"/>
      <c r="E23" s="41"/>
      <c r="F23" s="41"/>
      <c r="G23" s="27">
        <v>4474</v>
      </c>
      <c r="H23" s="27">
        <v>1200</v>
      </c>
      <c r="I23" s="27">
        <v>190</v>
      </c>
      <c r="J23" s="27">
        <v>138</v>
      </c>
      <c r="K23" s="27">
        <v>52</v>
      </c>
      <c r="L23" s="27"/>
      <c r="M23" s="27">
        <v>23</v>
      </c>
      <c r="N23" s="27">
        <v>29</v>
      </c>
      <c r="O23" s="22">
        <f>(K23/I23)</f>
        <v>0.27368421052631581</v>
      </c>
      <c r="P23" s="27">
        <v>52</v>
      </c>
      <c r="Q23" s="27">
        <v>0</v>
      </c>
      <c r="R23" s="27">
        <v>0</v>
      </c>
      <c r="S23" s="28">
        <v>0</v>
      </c>
      <c r="T23" s="29">
        <v>242</v>
      </c>
      <c r="U23" s="30">
        <v>190</v>
      </c>
      <c r="V23" s="30">
        <v>487</v>
      </c>
      <c r="W23" s="27">
        <v>713</v>
      </c>
      <c r="X23" s="31"/>
      <c r="Y23" s="31"/>
      <c r="Z23" s="32"/>
      <c r="AA23" s="32"/>
      <c r="AB23" s="32"/>
      <c r="AC23" s="32"/>
      <c r="AD23" s="32"/>
      <c r="AE23" s="33"/>
    </row>
    <row r="25" spans="1:31" ht="15" customHeight="1" x14ac:dyDescent="0.25">
      <c r="A25" s="34" t="s">
        <v>50</v>
      </c>
      <c r="B25" s="35" t="str">
        <f>B22</f>
        <v>0903406611</v>
      </c>
      <c r="C25" s="42" t="str">
        <f>Y22</f>
        <v>51.4 - 6 SOILING : CONTAMINATION UPPER
51.4 - 1 SOILING : CONTAMINATION INSIDE
51.5 - 1 OVER CEMENTING : OVER CEMENTING
41.11 - 10 ASSEMBLY BONDING : BONDING GAP
51.2 - 3 SYMMETRY : MIS-MATCHING
51.2 - 5 SYMMETRY : OFF CENTER TOE TO HEEL
51.2 - 1 SYMMETRY : POOR SYMMETRY
51.6 - 2 STITCH : INCONSISTENT STITCHING 
51.1 - 2 APPLICATION APPEARANCE : POOR DEFINITION
52.8 - 2 FINISHING : POOR MID-/OUTSOLE QUALITY
41.12 - 8 STITCH : BROKEN STITCHING/LOOSE STITCHING/SKIPPED STITCHING
51.3 - 2 SHAPE : POOR SHAPE
51.10 - 3 MATERIAL APPEARANCE: MATERIAL BROKEN
61.2 - 6 COLOR CONSISTENCY : LEATHER GRAIN DIFFERENCE</v>
      </c>
      <c r="D25" s="43"/>
      <c r="E25" s="43"/>
      <c r="F25" s="43"/>
      <c r="G25" s="43"/>
      <c r="H25" s="43"/>
      <c r="I25" s="43"/>
      <c r="J25" s="44"/>
    </row>
    <row r="26" spans="1:31" x14ac:dyDescent="0.25">
      <c r="A26" s="34" t="s">
        <v>19</v>
      </c>
      <c r="B26" s="35" t="str">
        <f>E22</f>
        <v>BAD BUNNY 2.0</v>
      </c>
      <c r="C26" s="45"/>
      <c r="D26" s="46"/>
      <c r="E26" s="46"/>
      <c r="F26" s="46"/>
      <c r="G26" s="46"/>
      <c r="H26" s="46"/>
      <c r="I26" s="46"/>
      <c r="J26" s="47"/>
    </row>
    <row r="27" spans="1:31" x14ac:dyDescent="0.25">
      <c r="A27" s="34" t="s">
        <v>51</v>
      </c>
      <c r="B27" s="36">
        <f>G22</f>
        <v>4474</v>
      </c>
      <c r="C27" s="45"/>
      <c r="D27" s="46"/>
      <c r="E27" s="46"/>
      <c r="F27" s="46"/>
      <c r="G27" s="46"/>
      <c r="H27" s="46"/>
      <c r="I27" s="46"/>
      <c r="J27" s="47"/>
    </row>
    <row r="28" spans="1:31" x14ac:dyDescent="0.25">
      <c r="A28" s="34" t="s">
        <v>20</v>
      </c>
      <c r="B28" s="35" t="str">
        <f>F22</f>
        <v>MEXICO</v>
      </c>
      <c r="C28" s="45"/>
      <c r="D28" s="46"/>
      <c r="E28" s="46"/>
      <c r="F28" s="46"/>
      <c r="G28" s="46"/>
      <c r="H28" s="46"/>
      <c r="I28" s="46"/>
      <c r="J28" s="47"/>
    </row>
    <row r="29" spans="1:31" x14ac:dyDescent="0.25">
      <c r="A29" s="37" t="s">
        <v>6</v>
      </c>
      <c r="B29" s="38">
        <f>I23</f>
        <v>190</v>
      </c>
      <c r="C29" s="45"/>
      <c r="D29" s="46"/>
      <c r="E29" s="46"/>
      <c r="F29" s="46"/>
      <c r="G29" s="46"/>
      <c r="H29" s="46"/>
      <c r="I29" s="46"/>
      <c r="J29" s="47"/>
    </row>
    <row r="30" spans="1:31" x14ac:dyDescent="0.25">
      <c r="A30" s="39" t="s">
        <v>7</v>
      </c>
      <c r="B30" s="38">
        <f>T23</f>
        <v>242</v>
      </c>
      <c r="C30" s="45"/>
      <c r="D30" s="46"/>
      <c r="E30" s="46"/>
      <c r="F30" s="46"/>
      <c r="G30" s="46"/>
      <c r="H30" s="46"/>
      <c r="I30" s="46"/>
      <c r="J30" s="47"/>
    </row>
    <row r="31" spans="1:31" x14ac:dyDescent="0.25">
      <c r="A31" s="39" t="s">
        <v>52</v>
      </c>
      <c r="B31" s="38">
        <f>J23</f>
        <v>138</v>
      </c>
      <c r="C31" s="45"/>
      <c r="D31" s="46"/>
      <c r="E31" s="46"/>
      <c r="F31" s="46"/>
      <c r="G31" s="46"/>
      <c r="H31" s="46"/>
      <c r="I31" s="46"/>
      <c r="J31" s="47"/>
    </row>
    <row r="32" spans="1:31" x14ac:dyDescent="0.25">
      <c r="A32" s="39" t="s">
        <v>53</v>
      </c>
      <c r="B32" s="38">
        <f>K23</f>
        <v>52</v>
      </c>
      <c r="C32" s="45"/>
      <c r="D32" s="46"/>
      <c r="E32" s="46"/>
      <c r="F32" s="46"/>
      <c r="G32" s="46"/>
      <c r="H32" s="46"/>
      <c r="I32" s="46"/>
      <c r="J32" s="47"/>
    </row>
    <row r="33" spans="1:10" x14ac:dyDescent="0.25">
      <c r="A33" s="39" t="s">
        <v>54</v>
      </c>
      <c r="B33" s="38">
        <f>P23</f>
        <v>52</v>
      </c>
      <c r="C33" s="45"/>
      <c r="D33" s="46"/>
      <c r="E33" s="46"/>
      <c r="F33" s="46"/>
      <c r="G33" s="46"/>
      <c r="H33" s="46"/>
      <c r="I33" s="46"/>
      <c r="J33" s="47"/>
    </row>
    <row r="34" spans="1:10" ht="72.75" customHeight="1" x14ac:dyDescent="0.25">
      <c r="A34" s="40" t="s">
        <v>55</v>
      </c>
      <c r="B34" s="38">
        <f>B14</f>
        <v>0</v>
      </c>
      <c r="C34" s="45"/>
      <c r="D34" s="46"/>
      <c r="E34" s="46"/>
      <c r="F34" s="46"/>
      <c r="G34" s="46"/>
      <c r="H34" s="46"/>
      <c r="I34" s="46"/>
      <c r="J34" s="47"/>
    </row>
    <row r="35" spans="1:10" x14ac:dyDescent="0.25">
      <c r="A35" s="39" t="s">
        <v>56</v>
      </c>
      <c r="B35" s="38">
        <f>W23</f>
        <v>713</v>
      </c>
      <c r="C35" s="48"/>
      <c r="D35" s="49"/>
      <c r="E35" s="49"/>
      <c r="F35" s="49"/>
      <c r="G35" s="49"/>
      <c r="H35" s="49"/>
      <c r="I35" s="49"/>
      <c r="J35" s="50"/>
    </row>
  </sheetData>
  <mergeCells count="32">
    <mergeCell ref="J20:J21"/>
    <mergeCell ref="A1:B1"/>
    <mergeCell ref="A19:C19"/>
    <mergeCell ref="A20:A21"/>
    <mergeCell ref="B20:B21"/>
    <mergeCell ref="C20:C21"/>
    <mergeCell ref="D20:D21"/>
    <mergeCell ref="AD20:AD21"/>
    <mergeCell ref="AE20:AE21"/>
    <mergeCell ref="Y22:AA22"/>
    <mergeCell ref="S20:S21"/>
    <mergeCell ref="T20:T21"/>
    <mergeCell ref="U20:U21"/>
    <mergeCell ref="V20:V21"/>
    <mergeCell ref="W20:W21"/>
    <mergeCell ref="X20:X21"/>
    <mergeCell ref="A23:F23"/>
    <mergeCell ref="C25:J35"/>
    <mergeCell ref="Y20:AA21"/>
    <mergeCell ref="AB20:AB21"/>
    <mergeCell ref="AC20:AC21"/>
    <mergeCell ref="K20:K21"/>
    <mergeCell ref="L20:N20"/>
    <mergeCell ref="O20:O21"/>
    <mergeCell ref="P20:P21"/>
    <mergeCell ref="Q20:Q21"/>
    <mergeCell ref="R20:R21"/>
    <mergeCell ref="E20:E21"/>
    <mergeCell ref="F20:F21"/>
    <mergeCell ref="G20:G21"/>
    <mergeCell ref="H20:H21"/>
    <mergeCell ref="I20:I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 - QIP</dc:creator>
  <cp:lastModifiedBy>zoezta</cp:lastModifiedBy>
  <dcterms:created xsi:type="dcterms:W3CDTF">2026-08-31T00:51:07Z</dcterms:created>
  <dcterms:modified xsi:type="dcterms:W3CDTF">2026-08-31T06:38:50Z</dcterms:modified>
</cp:coreProperties>
</file>